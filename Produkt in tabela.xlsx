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vro\Downloads\"/>
    </mc:Choice>
  </mc:AlternateContent>
  <xr:revisionPtr revIDLastSave="0" documentId="13_ncr:9_{7765B419-ED2F-4D5B-9904-09CFFDA8EE99}" xr6:coauthVersionLast="47" xr6:coauthVersionMax="47" xr10:uidLastSave="{00000000-0000-0000-0000-000000000000}"/>
  <bookViews>
    <workbookView xWindow="-120" yWindow="-120" windowWidth="29040" windowHeight="16440" activeTab="1" xr2:uid="{D1756B70-B1E0-408C-86F7-4ED21BC5BC2E}"/>
  </bookViews>
  <sheets>
    <sheet name="List1" sheetId="2" r:id="rId1"/>
    <sheet name="vhodni-podatki (1)" sheetId="1" r:id="rId2"/>
  </sheets>
  <definedNames>
    <definedName name="_xlchart.v1.0" hidden="1">'vhodni-podatki (1)'!$B$10:$C$10</definedName>
    <definedName name="_xlchart.v1.1" hidden="1">'vhodni-podatki (1)'!$B$11:$C$11</definedName>
    <definedName name="_xlchart.v1.10" hidden="1">'vhodni-podatki (1)'!$B$1:$C$1</definedName>
    <definedName name="_xlchart.v1.11" hidden="1">'vhodni-podatki (1)'!$B$20:$C$20</definedName>
    <definedName name="_xlchart.v1.12" hidden="1">'vhodni-podatki (1)'!$B$21:$C$21</definedName>
    <definedName name="_xlchart.v1.13" hidden="1">'vhodni-podatki (1)'!$B$22:$C$22</definedName>
    <definedName name="_xlchart.v1.14" hidden="1">'vhodni-podatki (1)'!$B$23:$C$23</definedName>
    <definedName name="_xlchart.v1.15" hidden="1">'vhodni-podatki (1)'!$B$24:$C$24</definedName>
    <definedName name="_xlchart.v1.16" hidden="1">'vhodni-podatki (1)'!$B$25:$C$25</definedName>
    <definedName name="_xlchart.v1.17" hidden="1">'vhodni-podatki (1)'!$B$26:$C$26</definedName>
    <definedName name="_xlchart.v1.18" hidden="1">'vhodni-podatki (1)'!$B$27:$C$27</definedName>
    <definedName name="_xlchart.v1.19" hidden="1">'vhodni-podatki (1)'!$B$28:$C$28</definedName>
    <definedName name="_xlchart.v1.2" hidden="1">'vhodni-podatki (1)'!$B$12:$C$12</definedName>
    <definedName name="_xlchart.v1.20" hidden="1">'vhodni-podatki (1)'!$B$29:$C$29</definedName>
    <definedName name="_xlchart.v1.21" hidden="1">'vhodni-podatki (1)'!$B$2:$C$2</definedName>
    <definedName name="_xlchart.v1.22" hidden="1">'vhodni-podatki (1)'!$B$30:$C$30</definedName>
    <definedName name="_xlchart.v1.23" hidden="1">'vhodni-podatki (1)'!$B$31:$C$31</definedName>
    <definedName name="_xlchart.v1.24" hidden="1">'vhodni-podatki (1)'!$B$32:$C$32</definedName>
    <definedName name="_xlchart.v1.25" hidden="1">'vhodni-podatki (1)'!$B$33:$C$33</definedName>
    <definedName name="_xlchart.v1.26" hidden="1">'vhodni-podatki (1)'!$B$3:$C$3</definedName>
    <definedName name="_xlchart.v1.27" hidden="1">'vhodni-podatki (1)'!$B$4:$C$4</definedName>
    <definedName name="_xlchart.v1.28" hidden="1">'vhodni-podatki (1)'!$B$5:$C$5</definedName>
    <definedName name="_xlchart.v1.29" hidden="1">'vhodni-podatki (1)'!$B$6:$C$6</definedName>
    <definedName name="_xlchart.v1.3" hidden="1">'vhodni-podatki (1)'!$B$13:$C$13</definedName>
    <definedName name="_xlchart.v1.30" hidden="1">'vhodni-podatki (1)'!$B$7:$C$7</definedName>
    <definedName name="_xlchart.v1.31" hidden="1">'vhodni-podatki (1)'!$B$8:$C$8</definedName>
    <definedName name="_xlchart.v1.32" hidden="1">'vhodni-podatki (1)'!$B$9:$C$9</definedName>
    <definedName name="_xlchart.v1.4" hidden="1">'vhodni-podatki (1)'!$B$14:$C$14</definedName>
    <definedName name="_xlchart.v1.5" hidden="1">'vhodni-podatki (1)'!$B$15:$C$15</definedName>
    <definedName name="_xlchart.v1.6" hidden="1">'vhodni-podatki (1)'!$B$16:$C$16</definedName>
    <definedName name="_xlchart.v1.7" hidden="1">'vhodni-podatki (1)'!$B$17:$C$17</definedName>
    <definedName name="_xlchart.v1.8" hidden="1">'vhodni-podatki (1)'!$B$18:$C$18</definedName>
    <definedName name="_xlchart.v1.9" hidden="1">'vhodni-podatki (1)'!$B$19:$C$19</definedName>
  </definedNames>
  <calcPr calcId="0"/>
  <pivotCaches>
    <pivotCache cacheId="12" r:id="rId3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<sst xmlns="http://schemas.openxmlformats.org/spreadsheetml/2006/main" count="70" uniqueCount="42">
  <si>
    <t>Vrsta</t>
  </si>
  <si>
    <t>Višina (bc)</t>
  </si>
  <si>
    <t>Teža (t oz)</t>
  </si>
  <si>
    <t>Tip</t>
  </si>
  <si>
    <t>Hitrost</t>
  </si>
  <si>
    <t>Bulbasaur</t>
  </si>
  <si>
    <t>Običajen</t>
  </si>
  <si>
    <t>Venusaur</t>
  </si>
  <si>
    <t>Leteč</t>
  </si>
  <si>
    <t>Charmander</t>
  </si>
  <si>
    <t>Charizard</t>
  </si>
  <si>
    <t>Squirtle</t>
  </si>
  <si>
    <t>Blastoise</t>
  </si>
  <si>
    <t>Butterfree</t>
  </si>
  <si>
    <t>Pidgey</t>
  </si>
  <si>
    <t>Pidgeot</t>
  </si>
  <si>
    <t>Pikachu</t>
  </si>
  <si>
    <t>Sandslash</t>
  </si>
  <si>
    <t>Ognjen</t>
  </si>
  <si>
    <t>Nidoking</t>
  </si>
  <si>
    <t>Clefable</t>
  </si>
  <si>
    <t>Ninetales</t>
  </si>
  <si>
    <t>Golbat</t>
  </si>
  <si>
    <t>Jasnoviden</t>
  </si>
  <si>
    <t>Dugtrio</t>
  </si>
  <si>
    <t>Meowth</t>
  </si>
  <si>
    <t>Machamp</t>
  </si>
  <si>
    <t>Golem</t>
  </si>
  <si>
    <t>Rapidash</t>
  </si>
  <si>
    <t>Magneton</t>
  </si>
  <si>
    <t>Gengar</t>
  </si>
  <si>
    <t>Onix</t>
  </si>
  <si>
    <t>Rhydon</t>
  </si>
  <si>
    <t>Gyarados</t>
  </si>
  <si>
    <t>Ditto</t>
  </si>
  <si>
    <t>Eevee</t>
  </si>
  <si>
    <t>Vaporeon</t>
  </si>
  <si>
    <t>Jolteon</t>
  </si>
  <si>
    <t>Flareon</t>
  </si>
  <si>
    <t>Snorlax</t>
  </si>
  <si>
    <t>Dragonite</t>
  </si>
  <si>
    <t>Gibalna količina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</si>
</sst>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8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'vhodni-podatki (1)'!$C$1</c:f>
              <c:strCache>
                <c:ptCount val="1"/>
                <c:pt idx="0">
                  <c:v>Teža (t oz)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'vhodni-podatki (1)'!$C$2:$C$33</c:f>
              <c:numCache>
                <c:formatCode>General</c:formatCode>
                <c:ptCount val="32"/>
                <c:pt idx="0">
                  <c:v>222</c:v>
                </c:pt>
                <c:pt idx="1">
                  <c:v>3215</c:v>
                </c:pt>
                <c:pt idx="2">
                  <c:v>273</c:v>
                </c:pt>
                <c:pt idx="3">
                  <c:v>2910</c:v>
                </c:pt>
                <c:pt idx="4">
                  <c:v>289</c:v>
                </c:pt>
                <c:pt idx="5">
                  <c:v>2749</c:v>
                </c:pt>
                <c:pt idx="6">
                  <c:v>1029</c:v>
                </c:pt>
                <c:pt idx="7">
                  <c:v>58</c:v>
                </c:pt>
                <c:pt idx="8">
                  <c:v>1270</c:v>
                </c:pt>
                <c:pt idx="9">
                  <c:v>193</c:v>
                </c:pt>
                <c:pt idx="10">
                  <c:v>948</c:v>
                </c:pt>
                <c:pt idx="11">
                  <c:v>1993</c:v>
                </c:pt>
                <c:pt idx="12">
                  <c:v>1286</c:v>
                </c:pt>
                <c:pt idx="13">
                  <c:v>640</c:v>
                </c:pt>
                <c:pt idx="14">
                  <c:v>1768</c:v>
                </c:pt>
                <c:pt idx="15">
                  <c:v>1071</c:v>
                </c:pt>
                <c:pt idx="16">
                  <c:v>135</c:v>
                </c:pt>
                <c:pt idx="17">
                  <c:v>4180</c:v>
                </c:pt>
                <c:pt idx="18">
                  <c:v>9645</c:v>
                </c:pt>
                <c:pt idx="19">
                  <c:v>3054</c:v>
                </c:pt>
                <c:pt idx="20">
                  <c:v>1929</c:v>
                </c:pt>
                <c:pt idx="21">
                  <c:v>1302</c:v>
                </c:pt>
                <c:pt idx="22">
                  <c:v>6752</c:v>
                </c:pt>
                <c:pt idx="23">
                  <c:v>3858</c:v>
                </c:pt>
                <c:pt idx="24">
                  <c:v>7555</c:v>
                </c:pt>
                <c:pt idx="25">
                  <c:v>129</c:v>
                </c:pt>
                <c:pt idx="26">
                  <c:v>209</c:v>
                </c:pt>
                <c:pt idx="27">
                  <c:v>932</c:v>
                </c:pt>
                <c:pt idx="28">
                  <c:v>788</c:v>
                </c:pt>
                <c:pt idx="29">
                  <c:v>804</c:v>
                </c:pt>
                <c:pt idx="30">
                  <c:v>14789</c:v>
                </c:pt>
                <c:pt idx="31">
                  <c:v>6752</c:v>
                </c:pt>
              </c:numCache>
            </c:numRef>
          </c:xVal>
          <c:yVal>
            <c:numRef>
              <c:f>'vhodni-podatki (1)'!$B$2:$B$33</c:f>
              <c:numCache>
                <c:formatCode>General</c:formatCode>
                <c:ptCount val="32"/>
                <c:pt idx="0">
                  <c:v>83</c:v>
                </c:pt>
                <c:pt idx="1">
                  <c:v>236</c:v>
                </c:pt>
                <c:pt idx="2">
                  <c:v>71</c:v>
                </c:pt>
                <c:pt idx="3">
                  <c:v>201</c:v>
                </c:pt>
                <c:pt idx="4">
                  <c:v>59</c:v>
                </c:pt>
                <c:pt idx="5">
                  <c:v>189</c:v>
                </c:pt>
                <c:pt idx="6">
                  <c:v>130</c:v>
                </c:pt>
                <c:pt idx="7">
                  <c:v>35</c:v>
                </c:pt>
                <c:pt idx="8">
                  <c:v>177</c:v>
                </c:pt>
                <c:pt idx="9">
                  <c:v>47</c:v>
                </c:pt>
                <c:pt idx="10">
                  <c:v>118</c:v>
                </c:pt>
                <c:pt idx="11">
                  <c:v>165</c:v>
                </c:pt>
                <c:pt idx="12">
                  <c:v>154</c:v>
                </c:pt>
                <c:pt idx="13">
                  <c:v>130</c:v>
                </c:pt>
                <c:pt idx="14">
                  <c:v>189</c:v>
                </c:pt>
                <c:pt idx="15">
                  <c:v>83</c:v>
                </c:pt>
                <c:pt idx="16">
                  <c:v>47</c:v>
                </c:pt>
                <c:pt idx="17">
                  <c:v>189</c:v>
                </c:pt>
                <c:pt idx="18">
                  <c:v>165</c:v>
                </c:pt>
                <c:pt idx="19">
                  <c:v>201</c:v>
                </c:pt>
                <c:pt idx="20">
                  <c:v>118</c:v>
                </c:pt>
                <c:pt idx="21">
                  <c:v>177</c:v>
                </c:pt>
                <c:pt idx="22">
                  <c:v>1039</c:v>
                </c:pt>
                <c:pt idx="23">
                  <c:v>224</c:v>
                </c:pt>
                <c:pt idx="24">
                  <c:v>768</c:v>
                </c:pt>
                <c:pt idx="25">
                  <c:v>35</c:v>
                </c:pt>
                <c:pt idx="26">
                  <c:v>35</c:v>
                </c:pt>
                <c:pt idx="27">
                  <c:v>118</c:v>
                </c:pt>
                <c:pt idx="28">
                  <c:v>94</c:v>
                </c:pt>
                <c:pt idx="29">
                  <c:v>106</c:v>
                </c:pt>
                <c:pt idx="30">
                  <c:v>248</c:v>
                </c:pt>
                <c:pt idx="31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F-470D-A119-DC21B756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242879"/>
        <c:axId val="858253439"/>
      </c:scatterChart>
      <c:valAx>
        <c:axId val="85824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53439"/>
        <c:crosses val="autoZero"/>
        <c:crossBetween val="midCat"/>
      </c:valAx>
      <c:valAx>
        <c:axId val="85825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4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5</xdr:row>
      <xdr:rowOff>57151</xdr:rowOff>
    </xdr:from>
    <xdr:to>
      <xdr:col>15</xdr:col>
      <xdr:colOff>485776</xdr:colOff>
      <xdr:row>20</xdr:row>
      <xdr:rowOff>19051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055D11A4-1A5B-4023-2E66-E6284A909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vro" refreshedDate="46047.764087731484" createdVersion="8" refreshedVersion="8" minRefreshableVersion="3" recordCount="32" xr:uid="{3D869107-6849-44A6-BA3D-712B37FBF675}">
  <cacheSource type="worksheet">
    <worksheetSource ref="A1:F33" sheet="vhodni-podatki (1)"/>
  </cacheSource>
  <cacheFields count="6">
    <cacheField name="Vrsta" numFmtId="0">
      <sharedItems count="32">
        <s v="Bulbasaur"/>
        <s v="Venusaur"/>
        <s v="Charmander"/>
        <s v="Charizard"/>
        <s v="Squirtle"/>
        <s v="Blastoise"/>
        <s v="Butterfree"/>
        <s v="Pidgey"/>
        <s v="Pidgeot"/>
        <s v="Pikachu"/>
        <s v="Sandslash"/>
        <s v="Nidoking"/>
        <s v="Clefable"/>
        <s v="Ninetales"/>
        <s v="Golbat"/>
        <s v="Dugtrio"/>
        <s v="Meowth"/>
        <s v="Machamp"/>
        <s v="Golem"/>
        <s v="Rapidash"/>
        <s v="Magneton"/>
        <s v="Gengar"/>
        <s v="Onix"/>
        <s v="Rhydon"/>
        <s v="Gyarados"/>
        <s v="Ditto"/>
        <s v="Eevee"/>
        <s v="Vaporeon"/>
        <s v="Jolteon"/>
        <s v="Flareon"/>
        <s v="Snorlax"/>
        <s v="Dragonite"/>
      </sharedItems>
    </cacheField>
    <cacheField name="Višina (bc)" numFmtId="0">
      <sharedItems containsSemiMixedTypes="0" containsString="0" containsNumber="1" containsInteger="1" minValue="35" maxValue="1039" count="20">
        <n v="83"/>
        <n v="236"/>
        <n v="71"/>
        <n v="201"/>
        <n v="59"/>
        <n v="189"/>
        <n v="130"/>
        <n v="35"/>
        <n v="177"/>
        <n v="47"/>
        <n v="118"/>
        <n v="165"/>
        <n v="154"/>
        <n v="1039"/>
        <n v="224"/>
        <n v="768"/>
        <n v="94"/>
        <n v="106"/>
        <n v="248"/>
        <n v="260"/>
      </sharedItems>
    </cacheField>
    <cacheField name="Teža (t oz)" numFmtId="0">
      <sharedItems containsSemiMixedTypes="0" containsString="0" containsNumber="1" containsInteger="1" minValue="58" maxValue="14789" count="31">
        <n v="222"/>
        <n v="3215"/>
        <n v="273"/>
        <n v="2910"/>
        <n v="289"/>
        <n v="2749"/>
        <n v="1029"/>
        <n v="58"/>
        <n v="1270"/>
        <n v="193"/>
        <n v="948"/>
        <n v="1993"/>
        <n v="1286"/>
        <n v="640"/>
        <n v="1768"/>
        <n v="1071"/>
        <n v="135"/>
        <n v="4180"/>
        <n v="9645"/>
        <n v="3054"/>
        <n v="1929"/>
        <n v="1302"/>
        <n v="6752"/>
        <n v="3858"/>
        <n v="7555"/>
        <n v="129"/>
        <n v="209"/>
        <n v="932"/>
        <n v="788"/>
        <n v="804"/>
        <n v="14789"/>
      </sharedItems>
    </cacheField>
    <cacheField name="Tip" numFmtId="0">
      <sharedItems/>
    </cacheField>
    <cacheField name="Hitrost" numFmtId="0">
      <sharedItems containsSemiMixedTypes="0" containsString="0" containsNumber="1" containsInteger="1" minValue="55" maxValue="123"/>
    </cacheField>
    <cacheField name="Gibalna količina" numFmtId="168">
      <sharedItems containsSemiMixedTypes="0" containsString="0" containsNumber="1" minValue="99.6875" maxValue="56845.2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s v="Običajen"/>
    <n v="85"/>
    <n v="589.6875"/>
  </r>
  <r>
    <x v="1"/>
    <x v="1"/>
    <x v="1"/>
    <s v="Leteč"/>
    <n v="123"/>
    <n v="12357.65625"/>
  </r>
  <r>
    <x v="2"/>
    <x v="2"/>
    <x v="2"/>
    <s v="Običajen"/>
    <n v="85"/>
    <n v="725.15625"/>
  </r>
  <r>
    <x v="3"/>
    <x v="3"/>
    <x v="3"/>
    <s v="Običajen"/>
    <n v="85"/>
    <n v="7729.6875"/>
  </r>
  <r>
    <x v="4"/>
    <x v="4"/>
    <x v="4"/>
    <s v="Leteč"/>
    <n v="123"/>
    <n v="1110.84375"/>
  </r>
  <r>
    <x v="5"/>
    <x v="5"/>
    <x v="5"/>
    <s v="Običajen"/>
    <n v="85"/>
    <n v="7302.03125"/>
  </r>
  <r>
    <x v="6"/>
    <x v="6"/>
    <x v="6"/>
    <s v="Običajen"/>
    <n v="85"/>
    <n v="2733.28125"/>
  </r>
  <r>
    <x v="7"/>
    <x v="7"/>
    <x v="7"/>
    <s v="Običajen"/>
    <n v="55"/>
    <n v="99.6875"/>
  </r>
  <r>
    <x v="8"/>
    <x v="8"/>
    <x v="8"/>
    <s v="Običajen"/>
    <n v="55"/>
    <n v="2182.8125"/>
  </r>
  <r>
    <x v="9"/>
    <x v="9"/>
    <x v="9"/>
    <s v="Običajen"/>
    <n v="55"/>
    <n v="331.71875"/>
  </r>
  <r>
    <x v="10"/>
    <x v="10"/>
    <x v="10"/>
    <s v="Ognjen"/>
    <n v="100"/>
    <n v="2962.5"/>
  </r>
  <r>
    <x v="11"/>
    <x v="11"/>
    <x v="11"/>
    <s v="Običajen"/>
    <n v="55"/>
    <n v="3425.46875"/>
  </r>
  <r>
    <x v="12"/>
    <x v="12"/>
    <x v="12"/>
    <s v="Običajen"/>
    <n v="85"/>
    <n v="3415.9375"/>
  </r>
  <r>
    <x v="13"/>
    <x v="6"/>
    <x v="13"/>
    <s v="Običajen"/>
    <n v="55"/>
    <n v="1100"/>
  </r>
  <r>
    <x v="14"/>
    <x v="5"/>
    <x v="14"/>
    <s v="Jasnoviden"/>
    <n v="110"/>
    <n v="6077.5"/>
  </r>
  <r>
    <x v="15"/>
    <x v="0"/>
    <x v="15"/>
    <s v="Običajen"/>
    <n v="85"/>
    <n v="2844.84375"/>
  </r>
  <r>
    <x v="16"/>
    <x v="9"/>
    <x v="16"/>
    <s v="Običajen"/>
    <n v="55"/>
    <n v="232.03125"/>
  </r>
  <r>
    <x v="17"/>
    <x v="5"/>
    <x v="17"/>
    <s v="Običajen"/>
    <n v="55"/>
    <n v="7184.375"/>
  </r>
  <r>
    <x v="18"/>
    <x v="11"/>
    <x v="18"/>
    <s v="Jasnoviden"/>
    <n v="110"/>
    <n v="33154.6875"/>
  </r>
  <r>
    <x v="19"/>
    <x v="3"/>
    <x v="19"/>
    <s v="Ognjen"/>
    <n v="100"/>
    <n v="9543.75"/>
  </r>
  <r>
    <x v="20"/>
    <x v="10"/>
    <x v="20"/>
    <s v="Običajen"/>
    <n v="55"/>
    <n v="3315.46875"/>
  </r>
  <r>
    <x v="21"/>
    <x v="8"/>
    <x v="21"/>
    <s v="Jasnoviden"/>
    <n v="110"/>
    <n v="4475.625"/>
  </r>
  <r>
    <x v="22"/>
    <x v="13"/>
    <x v="22"/>
    <s v="Običajen"/>
    <n v="55"/>
    <n v="11605"/>
  </r>
  <r>
    <x v="23"/>
    <x v="14"/>
    <x v="23"/>
    <s v="Ognjen"/>
    <n v="100"/>
    <n v="12056.25"/>
  </r>
  <r>
    <x v="24"/>
    <x v="15"/>
    <x v="24"/>
    <s v="Jasnoviden"/>
    <n v="110"/>
    <n v="25970.3125"/>
  </r>
  <r>
    <x v="25"/>
    <x v="7"/>
    <x v="25"/>
    <s v="Običajen"/>
    <n v="85"/>
    <n v="342.65625"/>
  </r>
  <r>
    <x v="26"/>
    <x v="7"/>
    <x v="26"/>
    <s v="Običajen"/>
    <n v="85"/>
    <n v="555.15625"/>
  </r>
  <r>
    <x v="27"/>
    <x v="10"/>
    <x v="27"/>
    <s v="Leteč"/>
    <n v="123"/>
    <n v="3582.375"/>
  </r>
  <r>
    <x v="28"/>
    <x v="16"/>
    <x v="28"/>
    <s v="Jasnoviden"/>
    <n v="110"/>
    <n v="2708.75"/>
  </r>
  <r>
    <x v="29"/>
    <x v="17"/>
    <x v="29"/>
    <s v="Jasnoviden"/>
    <n v="110"/>
    <n v="2763.75"/>
  </r>
  <r>
    <x v="30"/>
    <x v="18"/>
    <x v="30"/>
    <s v="Leteč"/>
    <n v="123"/>
    <n v="56845.21875"/>
  </r>
  <r>
    <x v="31"/>
    <x v="19"/>
    <x v="22"/>
    <s v="Običajen"/>
    <n v="85"/>
    <n v="179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1557E-B0FD-411F-B8ED-4BC2E51818E9}" name="Vrtilna tabela2" cacheId="12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>
      <items count="33">
        <item x="5"/>
        <item x="0"/>
        <item x="6"/>
        <item x="3"/>
        <item x="2"/>
        <item x="12"/>
        <item x="25"/>
        <item x="31"/>
        <item x="15"/>
        <item x="26"/>
        <item x="29"/>
        <item x="21"/>
        <item x="14"/>
        <item x="18"/>
        <item x="24"/>
        <item x="28"/>
        <item x="17"/>
        <item x="20"/>
        <item x="16"/>
        <item x="11"/>
        <item x="13"/>
        <item x="22"/>
        <item x="8"/>
        <item x="7"/>
        <item x="9"/>
        <item x="19"/>
        <item x="23"/>
        <item x="10"/>
        <item x="30"/>
        <item x="4"/>
        <item x="27"/>
        <item x="1"/>
        <item t="default"/>
      </items>
    </pivotField>
    <pivotField showAll="0">
      <items count="21">
        <item x="7"/>
        <item x="9"/>
        <item x="4"/>
        <item x="2"/>
        <item x="0"/>
        <item x="16"/>
        <item x="17"/>
        <item x="10"/>
        <item x="6"/>
        <item x="12"/>
        <item x="11"/>
        <item x="8"/>
        <item x="5"/>
        <item x="3"/>
        <item x="14"/>
        <item x="1"/>
        <item x="18"/>
        <item x="19"/>
        <item x="15"/>
        <item x="13"/>
        <item t="default"/>
      </items>
    </pivotField>
    <pivotField showAll="0">
      <items count="32">
        <item x="7"/>
        <item x="25"/>
        <item x="16"/>
        <item x="9"/>
        <item x="26"/>
        <item x="0"/>
        <item x="2"/>
        <item x="4"/>
        <item x="13"/>
        <item x="28"/>
        <item x="29"/>
        <item x="27"/>
        <item x="10"/>
        <item x="6"/>
        <item x="15"/>
        <item x="8"/>
        <item x="12"/>
        <item x="21"/>
        <item x="14"/>
        <item x="20"/>
        <item x="11"/>
        <item x="5"/>
        <item x="3"/>
        <item x="19"/>
        <item x="1"/>
        <item x="23"/>
        <item x="17"/>
        <item x="22"/>
        <item x="24"/>
        <item x="18"/>
        <item x="30"/>
        <item t="default"/>
      </items>
    </pivotField>
    <pivotField showAll="0"/>
    <pivotField showAll="0"/>
    <pivotField numFmtId="168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CEFE-C5FB-4599-84CE-8241B902F0C9}">
  <dimension ref="A3:C20"/>
  <sheetViews>
    <sheetView workbookViewId="0">
      <selection activeCell="A3" sqref="A3"/>
    </sheetView>
  </sheetViews>
  <sheetFormatPr defaultRowHeight="15" x14ac:dyDescent="0.25"/>
  <cols>
    <col min="1" max="1" width="15.42578125" bestFit="1" customWidth="1"/>
    <col min="2" max="2" width="14.28515625" bestFit="1" customWidth="1"/>
    <col min="3" max="7" width="3" bestFit="1" customWidth="1"/>
    <col min="8" max="20" width="4" bestFit="1" customWidth="1"/>
    <col min="21" max="21" width="5" bestFit="1" customWidth="1"/>
    <col min="22" max="22" width="12.85546875" bestFit="1" customWidth="1"/>
    <col min="23" max="23" width="9.42578125" bestFit="1" customWidth="1"/>
    <col min="24" max="24" width="5.85546875" bestFit="1" customWidth="1"/>
    <col min="25" max="25" width="5" bestFit="1" customWidth="1"/>
    <col min="26" max="26" width="9.42578125" bestFit="1" customWidth="1"/>
    <col min="27" max="27" width="5.85546875" bestFit="1" customWidth="1"/>
    <col min="28" max="28" width="9.42578125" bestFit="1" customWidth="1"/>
    <col min="29" max="29" width="5.85546875" bestFit="1" customWidth="1"/>
    <col min="30" max="30" width="5" bestFit="1" customWidth="1"/>
    <col min="31" max="31" width="9.42578125" bestFit="1" customWidth="1"/>
    <col min="32" max="32" width="5.85546875" bestFit="1" customWidth="1"/>
    <col min="33" max="33" width="5" bestFit="1" customWidth="1"/>
    <col min="34" max="34" width="9.42578125" bestFit="1" customWidth="1"/>
    <col min="35" max="35" width="5.85546875" bestFit="1" customWidth="1"/>
    <col min="36" max="37" width="5" bestFit="1" customWidth="1"/>
    <col min="38" max="38" width="9.42578125" bestFit="1" customWidth="1"/>
    <col min="39" max="39" width="5.85546875" bestFit="1" customWidth="1"/>
    <col min="40" max="40" width="5" bestFit="1" customWidth="1"/>
    <col min="41" max="41" width="9.42578125" bestFit="1" customWidth="1"/>
    <col min="42" max="42" width="5.85546875" bestFit="1" customWidth="1"/>
    <col min="43" max="43" width="9.42578125" bestFit="1" customWidth="1"/>
    <col min="44" max="44" width="5.85546875" bestFit="1" customWidth="1"/>
    <col min="45" max="45" width="9.42578125" bestFit="1" customWidth="1"/>
    <col min="46" max="46" width="6" bestFit="1" customWidth="1"/>
    <col min="47" max="47" width="9.42578125" bestFit="1" customWidth="1"/>
    <col min="48" max="48" width="5.85546875" bestFit="1" customWidth="1"/>
    <col min="49" max="49" width="9.42578125" bestFit="1" customWidth="1"/>
    <col min="50" max="50" width="5.85546875" bestFit="1" customWidth="1"/>
    <col min="51" max="51" width="9.42578125" bestFit="1" customWidth="1"/>
    <col min="52" max="52" width="6.85546875" bestFit="1" customWidth="1"/>
    <col min="53" max="53" width="10.42578125" bestFit="1" customWidth="1"/>
    <col min="54" max="54" width="12.85546875" bestFit="1" customWidth="1"/>
  </cols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A500-058C-459D-B34E-B5F716B0EDCF}">
  <dimension ref="A1:F33"/>
  <sheetViews>
    <sheetView tabSelected="1" workbookViewId="0">
      <selection activeCell="K5" sqref="K5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9.8554687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 spans="1:6" x14ac:dyDescent="0.25">
      <c r="A2" t="s">
        <v>5</v>
      </c>
      <c r="B2">
        <v>83</v>
      </c>
      <c r="C2">
        <v>222</v>
      </c>
      <c r="D2" t="s">
        <v>6</v>
      </c>
      <c r="E2">
        <v>85</v>
      </c>
      <c r="F2" s="1">
        <f>PRODUCT(C2,E2,1/32)</f>
        <v>589.6875</v>
      </c>
    </row>
    <row r="3" spans="1:6" x14ac:dyDescent="0.25">
      <c r="A3" t="s">
        <v>7</v>
      </c>
      <c r="B3">
        <v>236</v>
      </c>
      <c r="C3">
        <v>3215</v>
      </c>
      <c r="D3" t="s">
        <v>8</v>
      </c>
      <c r="E3">
        <v>123</v>
      </c>
      <c r="F3" s="1">
        <f t="shared" ref="F3:F33" si="0">PRODUCT(C3,E3,1/32)</f>
        <v>12357.65625</v>
      </c>
    </row>
    <row r="4" spans="1:6" x14ac:dyDescent="0.25">
      <c r="A4" t="s">
        <v>9</v>
      </c>
      <c r="B4">
        <v>71</v>
      </c>
      <c r="C4">
        <v>273</v>
      </c>
      <c r="D4" t="s">
        <v>6</v>
      </c>
      <c r="E4">
        <v>85</v>
      </c>
      <c r="F4" s="1">
        <f t="shared" si="0"/>
        <v>725.15625</v>
      </c>
    </row>
    <row r="5" spans="1:6" x14ac:dyDescent="0.25">
      <c r="A5" t="s">
        <v>10</v>
      </c>
      <c r="B5">
        <v>201</v>
      </c>
      <c r="C5">
        <v>2910</v>
      </c>
      <c r="D5" t="s">
        <v>6</v>
      </c>
      <c r="E5">
        <v>85</v>
      </c>
      <c r="F5" s="1">
        <f t="shared" si="0"/>
        <v>7729.6875</v>
      </c>
    </row>
    <row r="6" spans="1:6" x14ac:dyDescent="0.25">
      <c r="A6" t="s">
        <v>11</v>
      </c>
      <c r="B6">
        <v>59</v>
      </c>
      <c r="C6">
        <v>289</v>
      </c>
      <c r="D6" t="s">
        <v>8</v>
      </c>
      <c r="E6">
        <v>123</v>
      </c>
      <c r="F6" s="1">
        <f t="shared" si="0"/>
        <v>1110.84375</v>
      </c>
    </row>
    <row r="7" spans="1:6" x14ac:dyDescent="0.25">
      <c r="A7" t="s">
        <v>12</v>
      </c>
      <c r="B7">
        <v>189</v>
      </c>
      <c r="C7">
        <v>2749</v>
      </c>
      <c r="D7" t="s">
        <v>6</v>
      </c>
      <c r="E7">
        <v>85</v>
      </c>
      <c r="F7" s="1">
        <f t="shared" si="0"/>
        <v>7302.03125</v>
      </c>
    </row>
    <row r="8" spans="1:6" x14ac:dyDescent="0.25">
      <c r="A8" t="s">
        <v>13</v>
      </c>
      <c r="B8">
        <v>130</v>
      </c>
      <c r="C8">
        <v>1029</v>
      </c>
      <c r="D8" t="s">
        <v>6</v>
      </c>
      <c r="E8">
        <v>85</v>
      </c>
      <c r="F8" s="1">
        <f t="shared" si="0"/>
        <v>2733.28125</v>
      </c>
    </row>
    <row r="9" spans="1:6" x14ac:dyDescent="0.25">
      <c r="A9" t="s">
        <v>14</v>
      </c>
      <c r="B9">
        <v>35</v>
      </c>
      <c r="C9">
        <v>58</v>
      </c>
      <c r="D9" t="s">
        <v>6</v>
      </c>
      <c r="E9">
        <v>55</v>
      </c>
      <c r="F9" s="1">
        <f t="shared" si="0"/>
        <v>99.6875</v>
      </c>
    </row>
    <row r="10" spans="1:6" x14ac:dyDescent="0.25">
      <c r="A10" t="s">
        <v>15</v>
      </c>
      <c r="B10">
        <v>177</v>
      </c>
      <c r="C10">
        <v>1270</v>
      </c>
      <c r="D10" t="s">
        <v>6</v>
      </c>
      <c r="E10">
        <v>55</v>
      </c>
      <c r="F10" s="1">
        <f t="shared" si="0"/>
        <v>2182.8125</v>
      </c>
    </row>
    <row r="11" spans="1:6" x14ac:dyDescent="0.25">
      <c r="A11" t="s">
        <v>16</v>
      </c>
      <c r="B11">
        <v>47</v>
      </c>
      <c r="C11">
        <v>193</v>
      </c>
      <c r="D11" t="s">
        <v>6</v>
      </c>
      <c r="E11">
        <v>55</v>
      </c>
      <c r="F11" s="1">
        <f t="shared" si="0"/>
        <v>331.71875</v>
      </c>
    </row>
    <row r="12" spans="1:6" x14ac:dyDescent="0.25">
      <c r="A12" t="s">
        <v>17</v>
      </c>
      <c r="B12">
        <v>118</v>
      </c>
      <c r="C12">
        <v>948</v>
      </c>
      <c r="D12" t="s">
        <v>18</v>
      </c>
      <c r="E12">
        <v>100</v>
      </c>
      <c r="F12" s="1">
        <f t="shared" si="0"/>
        <v>2962.5</v>
      </c>
    </row>
    <row r="13" spans="1:6" x14ac:dyDescent="0.25">
      <c r="A13" t="s">
        <v>19</v>
      </c>
      <c r="B13">
        <v>165</v>
      </c>
      <c r="C13">
        <v>1993</v>
      </c>
      <c r="D13" t="s">
        <v>6</v>
      </c>
      <c r="E13">
        <v>55</v>
      </c>
      <c r="F13" s="1">
        <f t="shared" si="0"/>
        <v>3425.46875</v>
      </c>
    </row>
    <row r="14" spans="1:6" x14ac:dyDescent="0.25">
      <c r="A14" t="s">
        <v>20</v>
      </c>
      <c r="B14">
        <v>154</v>
      </c>
      <c r="C14">
        <v>1286</v>
      </c>
      <c r="D14" t="s">
        <v>6</v>
      </c>
      <c r="E14">
        <v>85</v>
      </c>
      <c r="F14" s="1">
        <f t="shared" si="0"/>
        <v>3415.9375</v>
      </c>
    </row>
    <row r="15" spans="1:6" x14ac:dyDescent="0.25">
      <c r="A15" t="s">
        <v>21</v>
      </c>
      <c r="B15">
        <v>130</v>
      </c>
      <c r="C15">
        <v>640</v>
      </c>
      <c r="D15" t="s">
        <v>6</v>
      </c>
      <c r="E15">
        <v>55</v>
      </c>
      <c r="F15" s="1">
        <f t="shared" si="0"/>
        <v>1100</v>
      </c>
    </row>
    <row r="16" spans="1:6" x14ac:dyDescent="0.25">
      <c r="A16" t="s">
        <v>22</v>
      </c>
      <c r="B16">
        <v>189</v>
      </c>
      <c r="C16">
        <v>1768</v>
      </c>
      <c r="D16" t="s">
        <v>23</v>
      </c>
      <c r="E16">
        <v>110</v>
      </c>
      <c r="F16" s="1">
        <f t="shared" si="0"/>
        <v>6077.5</v>
      </c>
    </row>
    <row r="17" spans="1:6" x14ac:dyDescent="0.25">
      <c r="A17" t="s">
        <v>24</v>
      </c>
      <c r="B17">
        <v>83</v>
      </c>
      <c r="C17">
        <v>1071</v>
      </c>
      <c r="D17" t="s">
        <v>6</v>
      </c>
      <c r="E17">
        <v>85</v>
      </c>
      <c r="F17" s="1">
        <f t="shared" si="0"/>
        <v>2844.84375</v>
      </c>
    </row>
    <row r="18" spans="1:6" x14ac:dyDescent="0.25">
      <c r="A18" t="s">
        <v>25</v>
      </c>
      <c r="B18">
        <v>47</v>
      </c>
      <c r="C18">
        <v>135</v>
      </c>
      <c r="D18" t="s">
        <v>6</v>
      </c>
      <c r="E18">
        <v>55</v>
      </c>
      <c r="F18" s="1">
        <f t="shared" si="0"/>
        <v>232.03125</v>
      </c>
    </row>
    <row r="19" spans="1:6" x14ac:dyDescent="0.25">
      <c r="A19" t="s">
        <v>26</v>
      </c>
      <c r="B19">
        <v>189</v>
      </c>
      <c r="C19">
        <v>4180</v>
      </c>
      <c r="D19" t="s">
        <v>6</v>
      </c>
      <c r="E19">
        <v>55</v>
      </c>
      <c r="F19" s="1">
        <f t="shared" si="0"/>
        <v>7184.375</v>
      </c>
    </row>
    <row r="20" spans="1:6" x14ac:dyDescent="0.25">
      <c r="A20" t="s">
        <v>27</v>
      </c>
      <c r="B20">
        <v>165</v>
      </c>
      <c r="C20">
        <v>9645</v>
      </c>
      <c r="D20" t="s">
        <v>23</v>
      </c>
      <c r="E20">
        <v>110</v>
      </c>
      <c r="F20" s="1">
        <f t="shared" si="0"/>
        <v>33154.6875</v>
      </c>
    </row>
    <row r="21" spans="1:6" x14ac:dyDescent="0.25">
      <c r="A21" t="s">
        <v>28</v>
      </c>
      <c r="B21">
        <v>201</v>
      </c>
      <c r="C21">
        <v>3054</v>
      </c>
      <c r="D21" t="s">
        <v>18</v>
      </c>
      <c r="E21">
        <v>100</v>
      </c>
      <c r="F21" s="1">
        <f t="shared" si="0"/>
        <v>9543.75</v>
      </c>
    </row>
    <row r="22" spans="1:6" x14ac:dyDescent="0.25">
      <c r="A22" t="s">
        <v>29</v>
      </c>
      <c r="B22">
        <v>118</v>
      </c>
      <c r="C22">
        <v>1929</v>
      </c>
      <c r="D22" t="s">
        <v>6</v>
      </c>
      <c r="E22">
        <v>55</v>
      </c>
      <c r="F22" s="1">
        <f t="shared" si="0"/>
        <v>3315.46875</v>
      </c>
    </row>
    <row r="23" spans="1:6" x14ac:dyDescent="0.25">
      <c r="A23" t="s">
        <v>30</v>
      </c>
      <c r="B23">
        <v>177</v>
      </c>
      <c r="C23">
        <v>1302</v>
      </c>
      <c r="D23" t="s">
        <v>23</v>
      </c>
      <c r="E23">
        <v>110</v>
      </c>
      <c r="F23" s="1">
        <f t="shared" si="0"/>
        <v>4475.625</v>
      </c>
    </row>
    <row r="24" spans="1:6" x14ac:dyDescent="0.25">
      <c r="A24" t="s">
        <v>31</v>
      </c>
      <c r="B24">
        <v>1039</v>
      </c>
      <c r="C24">
        <v>6752</v>
      </c>
      <c r="D24" t="s">
        <v>6</v>
      </c>
      <c r="E24">
        <v>55</v>
      </c>
      <c r="F24" s="1">
        <f t="shared" si="0"/>
        <v>11605</v>
      </c>
    </row>
    <row r="25" spans="1:6" x14ac:dyDescent="0.25">
      <c r="A25" t="s">
        <v>32</v>
      </c>
      <c r="B25">
        <v>224</v>
      </c>
      <c r="C25">
        <v>3858</v>
      </c>
      <c r="D25" t="s">
        <v>18</v>
      </c>
      <c r="E25">
        <v>100</v>
      </c>
      <c r="F25" s="1">
        <f t="shared" si="0"/>
        <v>12056.25</v>
      </c>
    </row>
    <row r="26" spans="1:6" x14ac:dyDescent="0.25">
      <c r="A26" t="s">
        <v>33</v>
      </c>
      <c r="B26">
        <v>768</v>
      </c>
      <c r="C26">
        <v>7555</v>
      </c>
      <c r="D26" t="s">
        <v>23</v>
      </c>
      <c r="E26">
        <v>110</v>
      </c>
      <c r="F26" s="1">
        <f t="shared" si="0"/>
        <v>25970.3125</v>
      </c>
    </row>
    <row r="27" spans="1:6" x14ac:dyDescent="0.25">
      <c r="A27" t="s">
        <v>34</v>
      </c>
      <c r="B27">
        <v>35</v>
      </c>
      <c r="C27">
        <v>129</v>
      </c>
      <c r="D27" t="s">
        <v>6</v>
      </c>
      <c r="E27">
        <v>85</v>
      </c>
      <c r="F27" s="1">
        <f t="shared" si="0"/>
        <v>342.65625</v>
      </c>
    </row>
    <row r="28" spans="1:6" x14ac:dyDescent="0.25">
      <c r="A28" t="s">
        <v>35</v>
      </c>
      <c r="B28">
        <v>35</v>
      </c>
      <c r="C28">
        <v>209</v>
      </c>
      <c r="D28" t="s">
        <v>6</v>
      </c>
      <c r="E28">
        <v>85</v>
      </c>
      <c r="F28" s="1">
        <f t="shared" si="0"/>
        <v>555.15625</v>
      </c>
    </row>
    <row r="29" spans="1:6" x14ac:dyDescent="0.25">
      <c r="A29" t="s">
        <v>36</v>
      </c>
      <c r="B29">
        <v>118</v>
      </c>
      <c r="C29">
        <v>932</v>
      </c>
      <c r="D29" t="s">
        <v>8</v>
      </c>
      <c r="E29">
        <v>123</v>
      </c>
      <c r="F29" s="1">
        <f t="shared" si="0"/>
        <v>3582.375</v>
      </c>
    </row>
    <row r="30" spans="1:6" x14ac:dyDescent="0.25">
      <c r="A30" t="s">
        <v>37</v>
      </c>
      <c r="B30">
        <v>94</v>
      </c>
      <c r="C30">
        <v>788</v>
      </c>
      <c r="D30" t="s">
        <v>23</v>
      </c>
      <c r="E30">
        <v>110</v>
      </c>
      <c r="F30" s="1">
        <f t="shared" si="0"/>
        <v>2708.75</v>
      </c>
    </row>
    <row r="31" spans="1:6" x14ac:dyDescent="0.25">
      <c r="A31" t="s">
        <v>38</v>
      </c>
      <c r="B31">
        <v>106</v>
      </c>
      <c r="C31">
        <v>804</v>
      </c>
      <c r="D31" t="s">
        <v>23</v>
      </c>
      <c r="E31">
        <v>110</v>
      </c>
      <c r="F31" s="1">
        <f t="shared" si="0"/>
        <v>2763.75</v>
      </c>
    </row>
    <row r="32" spans="1:6" x14ac:dyDescent="0.25">
      <c r="A32" t="s">
        <v>39</v>
      </c>
      <c r="B32">
        <v>248</v>
      </c>
      <c r="C32">
        <v>14789</v>
      </c>
      <c r="D32" t="s">
        <v>8</v>
      </c>
      <c r="E32">
        <v>123</v>
      </c>
      <c r="F32" s="1">
        <f t="shared" si="0"/>
        <v>56845.21875</v>
      </c>
    </row>
    <row r="33" spans="1:6" x14ac:dyDescent="0.25">
      <c r="A33" t="s">
        <v>40</v>
      </c>
      <c r="B33">
        <v>260</v>
      </c>
      <c r="C33">
        <v>6752</v>
      </c>
      <c r="D33" t="s">
        <v>6</v>
      </c>
      <c r="E33">
        <v>85</v>
      </c>
      <c r="F33" s="1">
        <f t="shared" si="0"/>
        <v>17935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vhodni-podatki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Lovro Donko Zajec</cp:lastModifiedBy>
  <dcterms:created xsi:type="dcterms:W3CDTF">2026-01-25T17:02:39Z</dcterms:created>
  <dcterms:modified xsi:type="dcterms:W3CDTF">2026-01-27T13:57:47Z</dcterms:modified>
</cp:coreProperties>
</file>